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b Dev Pricing Calculator" sheetId="1" state="visible" r:id="rId1"/>
    <sheet xmlns:r="http://schemas.openxmlformats.org/officeDocument/2006/relationships" name="Client Quote"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9"/>
  <sheetViews>
    <sheetView workbookViewId="0">
      <selection activeCell="A1" sqref="A1"/>
    </sheetView>
  </sheetViews>
  <sheetFormatPr baseColWidth="8" defaultRowHeight="15"/>
  <sheetData>
    <row r="1">
      <c r="A1" t="inlineStr">
        <is>
          <t>Client Name</t>
        </is>
      </c>
      <c r="B1" t="inlineStr">
        <is>
          <t>Client Value</t>
        </is>
      </c>
    </row>
    <row r="2">
      <c r="A2" t="inlineStr">
        <is>
          <t>Project Name</t>
        </is>
      </c>
      <c r="B2" t="inlineStr">
        <is>
          <t>Project Value</t>
        </is>
      </c>
    </row>
    <row r="3">
      <c r="A3" t="inlineStr">
        <is>
          <t>Date</t>
        </is>
      </c>
      <c r="B3">
        <f>TODAY()</f>
        <v/>
      </c>
    </row>
    <row r="4">
      <c r="A4" t="inlineStr">
        <is>
          <t>Quote Valid Until</t>
        </is>
      </c>
      <c r="B4">
        <f>B3+30</f>
        <v/>
      </c>
    </row>
    <row r="5">
      <c r="A5" t="inlineStr">
        <is>
          <t>Contact Email</t>
        </is>
      </c>
      <c r="B5" t="inlineStr">
        <is>
          <t>Email Value</t>
        </is>
      </c>
    </row>
    <row r="7">
      <c r="A7" t="inlineStr">
        <is>
          <t>BASE PACKAGE SELECTION</t>
        </is>
      </c>
    </row>
    <row r="8">
      <c r="A8" t="inlineStr">
        <is>
          <t>Package Type</t>
        </is>
      </c>
      <c r="B8" t="inlineStr">
        <is>
          <t>Select (X)</t>
        </is>
      </c>
      <c r="C8" t="inlineStr">
        <is>
          <t>Base Price</t>
        </is>
      </c>
      <c r="D8" t="inlineStr">
        <is>
          <t>Your Price</t>
        </is>
      </c>
    </row>
    <row r="9">
      <c r="A9" t="inlineStr">
        <is>
          <t>Starter Site (4-6 pages)</t>
        </is>
      </c>
      <c r="C9" t="n">
        <v>2500</v>
      </c>
      <c r="D9">
        <f>IF(B9="X",C9,0)</f>
        <v/>
      </c>
    </row>
    <row r="10">
      <c r="A10" t="inlineStr">
        <is>
          <t>Growth Site (8-20 pages)</t>
        </is>
      </c>
      <c r="C10" t="n">
        <v>7500</v>
      </c>
      <c r="D10">
        <f>IF(B10="X",C10,0)</f>
        <v/>
      </c>
    </row>
    <row r="11">
      <c r="A11" t="inlineStr">
        <is>
          <t>Custom Site (complex)</t>
        </is>
      </c>
      <c r="C11" t="n">
        <v>18000</v>
      </c>
      <c r="D11">
        <f>IF(B11="X",C11,0)</f>
        <v/>
      </c>
    </row>
    <row r="12"/>
    <row r="13">
      <c r="A13" t="inlineStr">
        <is>
          <t>Selected Base:</t>
        </is>
      </c>
      <c r="D13">
        <f>SUM(D9:D11)</f>
        <v/>
      </c>
    </row>
    <row r="14"/>
    <row r="15">
      <c r="A15" t="inlineStr">
        <is>
          <t>PAGE COUNT ADJUSTMENTS</t>
        </is>
      </c>
    </row>
    <row r="16">
      <c r="A16" t="inlineStr">
        <is>
          <t>Pages</t>
        </is>
      </c>
      <c r="B16" t="inlineStr">
        <is>
          <t>Select (X)</t>
        </is>
      </c>
      <c r="C16" t="inlineStr">
        <is>
          <t>Package</t>
        </is>
      </c>
      <c r="D16" t="inlineStr">
        <is>
          <t>Price</t>
        </is>
      </c>
      <c r="E16" t="inlineStr">
        <is>
          <t>Your Price</t>
        </is>
      </c>
    </row>
    <row r="17">
      <c r="A17" t="inlineStr">
        <is>
          <t>4-6 pages</t>
        </is>
      </c>
      <c r="C17" t="inlineStr">
        <is>
          <t>Starter</t>
        </is>
      </c>
      <c r="D17" t="n">
        <v>0</v>
      </c>
      <c r="E17">
        <f>IF(B17="X",D17,0)</f>
        <v/>
      </c>
    </row>
    <row r="18">
      <c r="A18" t="inlineStr">
        <is>
          <t>8-10 pages</t>
        </is>
      </c>
      <c r="C18" t="inlineStr">
        <is>
          <t>Growth/Custom</t>
        </is>
      </c>
      <c r="D18" t="n">
        <v>0</v>
      </c>
      <c r="E18">
        <f>IF(B18="X",D18,0)</f>
        <v/>
      </c>
    </row>
    <row r="19">
      <c r="A19" t="inlineStr">
        <is>
          <t>11-15 pages</t>
        </is>
      </c>
      <c r="C19" t="inlineStr">
        <is>
          <t>Growth</t>
        </is>
      </c>
      <c r="D19" t="n">
        <v>1500</v>
      </c>
      <c r="E19">
        <f>IF(B19="X",D19,0)</f>
        <v/>
      </c>
    </row>
    <row r="20">
      <c r="A20" t="inlineStr">
        <is>
          <t>11-15 pages</t>
        </is>
      </c>
      <c r="C20" t="inlineStr">
        <is>
          <t>Custom</t>
        </is>
      </c>
      <c r="D20" t="n">
        <v>2000</v>
      </c>
      <c r="E20">
        <f>IF(B20="X",D20,0)</f>
        <v/>
      </c>
    </row>
    <row r="21">
      <c r="A21" t="inlineStr">
        <is>
          <t>16-20 pages</t>
        </is>
      </c>
      <c r="C21" t="inlineStr">
        <is>
          <t>Growth</t>
        </is>
      </c>
      <c r="D21" t="n">
        <v>3000</v>
      </c>
      <c r="E21">
        <f>IF(B21="X",D21,0)</f>
        <v/>
      </c>
    </row>
    <row r="22">
      <c r="A22" t="inlineStr">
        <is>
          <t>16-20 pages</t>
        </is>
      </c>
      <c r="C22" t="inlineStr">
        <is>
          <t>Custom</t>
        </is>
      </c>
      <c r="D22" t="n">
        <v>4000</v>
      </c>
      <c r="E22">
        <f>IF(B22="X",D22,0)</f>
        <v/>
      </c>
    </row>
    <row r="23">
      <c r="A23" t="inlineStr">
        <is>
          <t>21-30 pages</t>
        </is>
      </c>
      <c r="C23" t="inlineStr">
        <is>
          <t>Custom</t>
        </is>
      </c>
      <c r="D23" t="n">
        <v>6000</v>
      </c>
      <c r="E23">
        <f>IF(B23="X",D23,0)</f>
        <v/>
      </c>
    </row>
    <row r="24">
      <c r="A24" t="inlineStr">
        <is>
          <t>31+ pages</t>
        </is>
      </c>
      <c r="C24" t="inlineStr">
        <is>
          <t>Custom</t>
        </is>
      </c>
      <c r="D24" t="n">
        <v>10000</v>
      </c>
      <c r="E24">
        <f>IF(B24="X",D24,0)</f>
        <v/>
      </c>
    </row>
    <row r="25"/>
    <row r="26">
      <c r="A26" t="inlineStr">
        <is>
          <t>Page Count Total:</t>
        </is>
      </c>
      <c r="E26">
        <f>SUM(E17:E24)</f>
        <v/>
      </c>
    </row>
    <row r="27"/>
    <row r="28">
      <c r="A28" t="inlineStr">
        <is>
          <t>E-COMMERCE FEATURES</t>
        </is>
      </c>
    </row>
    <row r="29">
      <c r="A29" t="inlineStr">
        <is>
          <t>Feature</t>
        </is>
      </c>
      <c r="B29" t="inlineStr">
        <is>
          <t>Select (X)</t>
        </is>
      </c>
      <c r="C29" t="inlineStr">
        <is>
          <t>Price</t>
        </is>
      </c>
      <c r="D29" t="inlineStr">
        <is>
          <t>Your Price</t>
        </is>
      </c>
    </row>
    <row r="30">
      <c r="A30" t="inlineStr">
        <is>
          <t>No e-commerce</t>
        </is>
      </c>
      <c r="C30" t="n">
        <v>0</v>
      </c>
      <c r="D30">
        <f>IF(B30="X",C30,0)</f>
        <v/>
      </c>
    </row>
    <row r="31">
      <c r="A31" t="inlineStr">
        <is>
          <t>Simple store (5-20 products)</t>
        </is>
      </c>
      <c r="C31" t="n">
        <v>2750</v>
      </c>
      <c r="D31">
        <f>IF(B31="X",C31,0)</f>
        <v/>
      </c>
    </row>
    <row r="32">
      <c r="A32" t="inlineStr">
        <is>
          <t>Medium store (21-100 products)</t>
        </is>
      </c>
      <c r="C32" t="n">
        <v>5500</v>
      </c>
      <c r="D32">
        <f>IF(B32="X",C32,0)</f>
        <v/>
      </c>
    </row>
    <row r="33">
      <c r="A33" t="inlineStr">
        <is>
          <t>Large store (100+ products)</t>
        </is>
      </c>
      <c r="C33" t="n">
        <v>11500</v>
      </c>
      <c r="D33">
        <f>IF(B33="X",C33,0)</f>
        <v/>
      </c>
    </row>
    <row r="34">
      <c r="A34" t="inlineStr">
        <is>
          <t>Product variants (sizes/colors)</t>
        </is>
      </c>
      <c r="C34" t="n">
        <v>1000</v>
      </c>
      <c r="D34">
        <f>IF(B34="X",C34,0)</f>
        <v/>
      </c>
    </row>
    <row r="35">
      <c r="A35" t="inlineStr">
        <is>
          <t>Inventory management</t>
        </is>
      </c>
      <c r="C35" t="n">
        <v>1500</v>
      </c>
      <c r="D35">
        <f>IF(B35="X",C35,0)</f>
        <v/>
      </c>
    </row>
    <row r="36">
      <c r="A36" t="inlineStr">
        <is>
          <t>Subscriptions/recurring billing</t>
        </is>
      </c>
      <c r="C36" t="n">
        <v>2000</v>
      </c>
      <c r="D36">
        <f>IF(B36="X",C36,0)</f>
        <v/>
      </c>
    </row>
    <row r="37">
      <c r="A37" t="inlineStr">
        <is>
          <t>Advanced shipping calculations</t>
        </is>
      </c>
      <c r="C37" t="n">
        <v>1000</v>
      </c>
      <c r="D37">
        <f>IF(B37="X",C37,0)</f>
        <v/>
      </c>
    </row>
    <row r="38">
      <c r="A38" t="inlineStr">
        <is>
          <t>Multi-currency</t>
        </is>
      </c>
      <c r="C38" t="n">
        <v>1500</v>
      </c>
      <c r="D38">
        <f>IF(B38="X",C38,0)</f>
        <v/>
      </c>
    </row>
    <row r="39">
      <c r="A39" t="inlineStr">
        <is>
          <t>Product reviews system</t>
        </is>
      </c>
      <c r="C39" t="n">
        <v>800</v>
      </c>
      <c r="D39">
        <f>IF(B39="X",C39,0)</f>
        <v/>
      </c>
    </row>
    <row r="40"/>
    <row r="41">
      <c r="A41" t="inlineStr">
        <is>
          <t>E-commerce Total:</t>
        </is>
      </c>
      <c r="D41">
        <f>SUM(D30:D39)</f>
        <v/>
      </c>
    </row>
    <row r="42"/>
    <row r="43">
      <c r="A43" t="inlineStr">
        <is>
          <t>CONTENT PREPARATION</t>
        </is>
      </c>
    </row>
    <row r="44">
      <c r="A44" t="inlineStr">
        <is>
          <t>Service</t>
        </is>
      </c>
      <c r="B44" t="inlineStr">
        <is>
          <t>Select (X)</t>
        </is>
      </c>
      <c r="C44" t="inlineStr">
        <is>
          <t>Price</t>
        </is>
      </c>
      <c r="D44" t="inlineStr">
        <is>
          <t>Your Price</t>
        </is>
      </c>
    </row>
    <row r="45">
      <c r="A45" t="inlineStr">
        <is>
          <t>Content ready (organized)</t>
        </is>
      </c>
      <c r="C45" t="n">
        <v>0</v>
      </c>
      <c r="D45">
        <f>IF(B45="X",C45,0)</f>
        <v/>
      </c>
    </row>
    <row r="46">
      <c r="A46" t="inlineStr">
        <is>
          <t>Partial (needs organization)</t>
        </is>
      </c>
      <c r="C46" t="n">
        <v>750</v>
      </c>
      <c r="D46">
        <f>IF(B46="X",C46,0)</f>
        <v/>
      </c>
    </row>
    <row r="47">
      <c r="A47" t="inlineStr">
        <is>
          <t>Need help (writing/sourcing)</t>
        </is>
      </c>
      <c r="C47" t="n">
        <v>2250</v>
      </c>
      <c r="D47">
        <f>IF(B47="X",C47,0)</f>
        <v/>
      </c>
    </row>
    <row r="48">
      <c r="A48" t="inlineStr">
        <is>
          <t>Full copywriting (all pages)</t>
        </is>
      </c>
      <c r="C48" t="n">
        <v>4000</v>
      </c>
      <c r="D48">
        <f>IF(B48="X",C48,0)</f>
        <v/>
      </c>
    </row>
    <row r="49">
      <c r="A49" t="inlineStr">
        <is>
          <t>Professional photography</t>
        </is>
      </c>
      <c r="C49" t="n">
        <v>1250</v>
      </c>
      <c r="D49">
        <f>IF(B49="X",C49,0)</f>
        <v/>
      </c>
    </row>
    <row r="50">
      <c r="A50" t="inlineStr">
        <is>
          <t>Stock photo curation</t>
        </is>
      </c>
      <c r="C50" t="n">
        <v>400</v>
      </c>
      <c r="D50">
        <f>IF(B50="X",C50,0)</f>
        <v/>
      </c>
    </row>
    <row r="51"/>
    <row r="52">
      <c r="A52" t="inlineStr">
        <is>
          <t>Content Total:</t>
        </is>
      </c>
      <c r="D52">
        <f>SUM(D45:D50)</f>
        <v/>
      </c>
    </row>
    <row r="53"/>
    <row r="54">
      <c r="A54" t="inlineStr">
        <is>
          <t>CUSTOM FEATURES &amp; INTEGRATIONS</t>
        </is>
      </c>
    </row>
    <row r="55">
      <c r="A55" t="inlineStr">
        <is>
          <t>Feature</t>
        </is>
      </c>
      <c r="B55" t="inlineStr">
        <is>
          <t>Select (X)</t>
        </is>
      </c>
      <c r="C55" t="inlineStr">
        <is>
          <t>Price</t>
        </is>
      </c>
      <c r="D55" t="inlineStr">
        <is>
          <t>Your Price</t>
        </is>
      </c>
    </row>
    <row r="56">
      <c r="A56" t="inlineStr">
        <is>
          <t>Contact form (basic)</t>
        </is>
      </c>
      <c r="C56" t="n">
        <v>0</v>
      </c>
      <c r="D56">
        <f>IF(B56="X",C56,0)</f>
        <v/>
      </c>
    </row>
    <row r="57">
      <c r="A57" t="inlineStr">
        <is>
          <t>Multi-step form</t>
        </is>
      </c>
      <c r="C57" t="n">
        <v>750</v>
      </c>
      <c r="D57">
        <f>IF(B57="X",C57,0)</f>
        <v/>
      </c>
    </row>
    <row r="58">
      <c r="A58" t="inlineStr">
        <is>
          <t>Booking system (simple)</t>
        </is>
      </c>
      <c r="C58" t="n">
        <v>2000</v>
      </c>
      <c r="D58">
        <f>IF(B58="X",C58,0)</f>
        <v/>
      </c>
    </row>
    <row r="59">
      <c r="A59" t="inlineStr">
        <is>
          <t>Booking system (complex)</t>
        </is>
      </c>
      <c r="C59" t="n">
        <v>4000</v>
      </c>
      <c r="D59">
        <f>IF(B59="X",C59,0)</f>
        <v/>
      </c>
    </row>
    <row r="60">
      <c r="A60" t="inlineStr">
        <is>
          <t>Member login/portal</t>
        </is>
      </c>
      <c r="C60" t="n">
        <v>4500</v>
      </c>
      <c r="D60">
        <f>IF(B60="X",C60,0)</f>
        <v/>
      </c>
    </row>
    <row r="61">
      <c r="A61" t="inlineStr">
        <is>
          <t>Blog with categories/tags</t>
        </is>
      </c>
      <c r="C61" t="n">
        <v>650</v>
      </c>
      <c r="D61">
        <f>IF(B61="X",C61,0)</f>
        <v/>
      </c>
    </row>
    <row r="62">
      <c r="A62" t="inlineStr">
        <is>
          <t>Newsletter signup</t>
        </is>
      </c>
      <c r="C62" t="n">
        <v>300</v>
      </c>
      <c r="D62">
        <f>IF(B62="X",C62,0)</f>
        <v/>
      </c>
    </row>
    <row r="63">
      <c r="A63" t="inlineStr">
        <is>
          <t>CRM integration (HubSpot/Salesforce)</t>
        </is>
      </c>
      <c r="C63" t="n">
        <v>1750</v>
      </c>
      <c r="D63">
        <f>IF(B63="X",C63,0)</f>
        <v/>
      </c>
    </row>
    <row r="64">
      <c r="A64" t="inlineStr">
        <is>
          <t>Payment gateway (Stripe/PayPal)</t>
        </is>
      </c>
      <c r="C64" t="n">
        <v>1150</v>
      </c>
      <c r="D64">
        <f>IF(B64="X",C64,0)</f>
        <v/>
      </c>
    </row>
    <row r="65">
      <c r="A65" t="inlineStr">
        <is>
          <t>Custom API integration</t>
        </is>
      </c>
      <c r="C65" t="n">
        <v>3500</v>
      </c>
      <c r="D65">
        <f>IF(B65="X",C65,0)</f>
        <v/>
      </c>
    </row>
    <row r="66">
      <c r="A66" t="inlineStr">
        <is>
          <t>Multi-language support (per language)</t>
        </is>
      </c>
      <c r="C66" t="n">
        <v>3000</v>
      </c>
      <c r="D66">
        <f>IF(B66="X",C66,0)</f>
        <v/>
      </c>
    </row>
    <row r="67">
      <c r="A67" t="inlineStr">
        <is>
          <t>Advanced search/filtering</t>
        </is>
      </c>
      <c r="C67" t="n">
        <v>2250</v>
      </c>
      <c r="D67">
        <f>IF(B67="X",C67,0)</f>
        <v/>
      </c>
    </row>
    <row r="68">
      <c r="A68" t="inlineStr">
        <is>
          <t>Map with locations</t>
        </is>
      </c>
      <c r="C68" t="n">
        <v>450</v>
      </c>
      <c r="D68">
        <f>IF(B68="X",C68,0)</f>
        <v/>
      </c>
    </row>
    <row r="69">
      <c r="A69" t="inlineStr">
        <is>
          <t>Interactive calculator/tool</t>
        </is>
      </c>
      <c r="C69" t="n">
        <v>2750</v>
      </c>
      <c r="D69">
        <f>IF(B69="X",C69,0)</f>
        <v/>
      </c>
    </row>
    <row r="70">
      <c r="A70" t="inlineStr">
        <is>
          <t>Live chat integration</t>
        </is>
      </c>
      <c r="C70" t="n">
        <v>400</v>
      </c>
      <c r="D70">
        <f>IF(B70="X",C70,0)</f>
        <v/>
      </c>
    </row>
    <row r="71">
      <c r="A71" t="inlineStr">
        <is>
          <t>Social media feeds</t>
        </is>
      </c>
      <c r="C71" t="n">
        <v>550</v>
      </c>
      <c r="D71">
        <f>IF(B71="X",C71,0)</f>
        <v/>
      </c>
    </row>
    <row r="72">
      <c r="A72" t="inlineStr">
        <is>
          <t>Custom contact form fields</t>
        </is>
      </c>
      <c r="C72" t="n">
        <v>300</v>
      </c>
      <c r="D72">
        <f>IF(B72="X",C72,0)</f>
        <v/>
      </c>
    </row>
    <row r="73">
      <c r="A73" t="inlineStr">
        <is>
          <t>Event calendar</t>
        </is>
      </c>
      <c r="C73" t="n">
        <v>1200</v>
      </c>
      <c r="D73">
        <f>IF(B73="X",C73,0)</f>
        <v/>
      </c>
    </row>
    <row r="74">
      <c r="A74" t="inlineStr">
        <is>
          <t>Portfolio/gallery showcase</t>
        </is>
      </c>
      <c r="C74" t="n">
        <v>800</v>
      </c>
      <c r="D74">
        <f>IF(B74="X",C74,0)</f>
        <v/>
      </c>
    </row>
    <row r="75"/>
    <row r="76">
      <c r="A76" t="inlineStr">
        <is>
          <t>Features Total:</t>
        </is>
      </c>
      <c r="D76">
        <f>SUM(D56:D74)</f>
        <v/>
      </c>
    </row>
    <row r="77"/>
    <row r="78">
      <c r="A78" t="inlineStr">
        <is>
          <t>DESIGN COMPLEXITY</t>
        </is>
      </c>
    </row>
    <row r="79">
      <c r="A79" t="inlineStr">
        <is>
          <t>Level</t>
        </is>
      </c>
      <c r="B79" t="inlineStr">
        <is>
          <t>Select (X)</t>
        </is>
      </c>
      <c r="C79" t="inlineStr">
        <is>
          <t>Price</t>
        </is>
      </c>
      <c r="D79" t="inlineStr">
        <is>
          <t>Your Price</t>
        </is>
      </c>
    </row>
    <row r="80">
      <c r="A80" t="inlineStr">
        <is>
          <t>Template-based</t>
        </is>
      </c>
      <c r="C80" t="n">
        <v>-500</v>
      </c>
      <c r="D80">
        <f>IF(B80="X",C80,0)</f>
        <v/>
      </c>
    </row>
    <row r="81">
      <c r="A81" t="inlineStr">
        <is>
          <t>Semi-custom (custom home/templated inner)</t>
        </is>
      </c>
      <c r="C81" t="n">
        <v>0</v>
      </c>
      <c r="D81">
        <f>IF(B81="X",C81,0)</f>
        <v/>
      </c>
    </row>
    <row r="82">
      <c r="A82" t="inlineStr">
        <is>
          <t>Fully custom (all pages from scratch)</t>
        </is>
      </c>
      <c r="C82" t="n">
        <v>3000</v>
      </c>
      <c r="D82">
        <f>IF(B82="X",C82,0)</f>
        <v/>
      </c>
    </row>
    <row r="83">
      <c r="A83" t="inlineStr">
        <is>
          <t>Complex animations</t>
        </is>
      </c>
      <c r="C83" t="n">
        <v>2250</v>
      </c>
      <c r="D83">
        <f>IF(B83="X",C83,0)</f>
        <v/>
      </c>
    </row>
    <row r="84">
      <c r="A84" t="inlineStr">
        <is>
          <t>Custom illustrations</t>
        </is>
      </c>
      <c r="C84" t="n">
        <v>2000</v>
      </c>
      <c r="D84">
        <f>IF(B84="X",C84,0)</f>
        <v/>
      </c>
    </row>
    <row r="85">
      <c r="A85" t="inlineStr">
        <is>
          <t>Video integration</t>
        </is>
      </c>
      <c r="C85" t="n">
        <v>850</v>
      </c>
      <c r="D85">
        <f>IF(B85="X",C85,0)</f>
        <v/>
      </c>
    </row>
    <row r="86">
      <c r="A86" t="inlineStr">
        <is>
          <t>Advanced UI/UX research</t>
        </is>
      </c>
      <c r="C86" t="n">
        <v>3500</v>
      </c>
      <c r="D86">
        <f>IF(B86="X",C86,0)</f>
        <v/>
      </c>
    </row>
    <row r="87"/>
    <row r="88">
      <c r="A88" t="inlineStr">
        <is>
          <t>Design Total:</t>
        </is>
      </c>
      <c r="D88">
        <f>SUM(D80:D86)</f>
        <v/>
      </c>
    </row>
    <row r="89"/>
    <row r="90">
      <c r="A90" t="inlineStr">
        <is>
          <t>TECHNICAL REQUIREMENTS</t>
        </is>
      </c>
    </row>
    <row r="91">
      <c r="A91" t="inlineStr">
        <is>
          <t>Requirement</t>
        </is>
      </c>
      <c r="B91" t="inlineStr">
        <is>
          <t>Select (X)</t>
        </is>
      </c>
      <c r="C91" t="inlineStr">
        <is>
          <t>Price</t>
        </is>
      </c>
      <c r="D91" t="inlineStr">
        <is>
          <t>Your Price</t>
        </is>
      </c>
    </row>
    <row r="92">
      <c r="A92" t="inlineStr">
        <is>
          <t>Performance optimization (advanced)</t>
        </is>
      </c>
      <c r="C92" t="n">
        <v>1150</v>
      </c>
      <c r="D92">
        <f>IF(B92="X",C92,0)</f>
        <v/>
      </c>
    </row>
    <row r="93">
      <c r="A93" t="inlineStr">
        <is>
          <t>Advanced SEO (schema/sitemap/redirects)</t>
        </is>
      </c>
      <c r="C93" t="n">
        <v>1500</v>
      </c>
      <c r="D93">
        <f>IF(B93="X",C93,0)</f>
        <v/>
      </c>
    </row>
    <row r="94">
      <c r="A94" t="inlineStr">
        <is>
          <t>Accessibility compliance (WCAG AA)</t>
        </is>
      </c>
      <c r="C94" t="n">
        <v>2250</v>
      </c>
      <c r="D94">
        <f>IF(B94="X",C94,0)</f>
        <v/>
      </c>
    </row>
    <row r="95">
      <c r="A95" t="inlineStr">
        <is>
          <t>Security hardening (advanced)</t>
        </is>
      </c>
      <c r="C95" t="n">
        <v>1500</v>
      </c>
      <c r="D95">
        <f>IF(B95="X",C95,0)</f>
        <v/>
      </c>
    </row>
    <row r="96">
      <c r="A96" t="inlineStr">
        <is>
          <t>Custom database</t>
        </is>
      </c>
      <c r="C96" t="n">
        <v>3750</v>
      </c>
      <c r="D96">
        <f>IF(B96="X",C96,0)</f>
        <v/>
      </c>
    </row>
    <row r="97">
      <c r="A97" t="inlineStr">
        <is>
          <t>Progressive Web App (PWA)</t>
        </is>
      </c>
      <c r="C97" t="n">
        <v>5000</v>
      </c>
      <c r="D97">
        <f>IF(B97="X",C97,0)</f>
        <v/>
      </c>
    </row>
    <row r="98"/>
    <row r="99">
      <c r="A99" t="inlineStr">
        <is>
          <t>Technical Total:</t>
        </is>
      </c>
      <c r="D99">
        <f>SUM(D92:D97)</f>
        <v/>
      </c>
    </row>
    <row r="100"/>
    <row r="101">
      <c r="A101" t="inlineStr">
        <is>
          <t>MIGRATION &amp; DATA TRANSFER</t>
        </is>
      </c>
    </row>
    <row r="102">
      <c r="A102" t="inlineStr">
        <is>
          <t>Task</t>
        </is>
      </c>
      <c r="B102" t="inlineStr">
        <is>
          <t>Select (X)</t>
        </is>
      </c>
      <c r="C102" t="inlineStr">
        <is>
          <t>Price</t>
        </is>
      </c>
      <c r="D102" t="inlineStr">
        <is>
          <t>Your Price</t>
        </is>
      </c>
    </row>
    <row r="103">
      <c r="A103" t="inlineStr">
        <is>
          <t>No migration (new site)</t>
        </is>
      </c>
      <c r="C103" t="n">
        <v>0</v>
      </c>
      <c r="D103">
        <f>IF(B103="X",C103,0)</f>
        <v/>
      </c>
    </row>
    <row r="104">
      <c r="A104" t="inlineStr">
        <is>
          <t>Simple migration (10-20 pages)</t>
        </is>
      </c>
      <c r="C104" t="n">
        <v>1000</v>
      </c>
      <c r="D104">
        <f>IF(B104="X",C104,0)</f>
        <v/>
      </c>
    </row>
    <row r="105">
      <c r="A105" t="inlineStr">
        <is>
          <t>Medium migration (20-50 pages)</t>
        </is>
      </c>
      <c r="C105" t="n">
        <v>2000</v>
      </c>
      <c r="D105">
        <f>IF(B105="X",C105,0)</f>
        <v/>
      </c>
    </row>
    <row r="106">
      <c r="A106" t="inlineStr">
        <is>
          <t>Large migration (50-100 pages)</t>
        </is>
      </c>
      <c r="C106" t="n">
        <v>4000</v>
      </c>
      <c r="D106">
        <f>IF(B106="X",C106,0)</f>
        <v/>
      </c>
    </row>
    <row r="107">
      <c r="A107" t="inlineStr">
        <is>
          <t>Database migration</t>
        </is>
      </c>
      <c r="C107" t="n">
        <v>1500</v>
      </c>
      <c r="D107">
        <f>IF(B107="X",C107,0)</f>
        <v/>
      </c>
    </row>
    <row r="108">
      <c r="A108" t="inlineStr">
        <is>
          <t>E-commerce product migration (per 100)</t>
        </is>
      </c>
      <c r="C108" t="n">
        <v>750</v>
      </c>
      <c r="D108">
        <f>IF(B108="X",C108,0)</f>
        <v/>
      </c>
    </row>
    <row r="109">
      <c r="A109" t="inlineStr">
        <is>
          <t>URL redirect mapping</t>
        </is>
      </c>
      <c r="C109" t="n">
        <v>750</v>
      </c>
      <c r="D109">
        <f>IF(B109="X",C109,0)</f>
        <v/>
      </c>
    </row>
    <row r="110"/>
    <row r="111">
      <c r="A111" t="inlineStr">
        <is>
          <t>Migration Total:</t>
        </is>
      </c>
      <c r="D111">
        <f>SUM(D103:D109)</f>
        <v/>
      </c>
    </row>
    <row r="112"/>
    <row r="113">
      <c r="A113" t="inlineStr">
        <is>
          <t>TIMELINE &amp; RUSH FEES</t>
        </is>
      </c>
    </row>
    <row r="114">
      <c r="A114" t="inlineStr">
        <is>
          <t>Timeline</t>
        </is>
      </c>
      <c r="B114" t="inlineStr">
        <is>
          <t>Select (X)</t>
        </is>
      </c>
      <c r="C114" t="inlineStr">
        <is>
          <t>Multiplier</t>
        </is>
      </c>
      <c r="D114" t="inlineStr">
        <is>
          <t>Applied</t>
        </is>
      </c>
    </row>
    <row r="115">
      <c r="A115" t="inlineStr">
        <is>
          <t>Standard (4-8 weeks)</t>
        </is>
      </c>
      <c r="C115" t="n">
        <v>1</v>
      </c>
      <c r="D115">
        <f>IF(B115="X",C115,0)</f>
        <v/>
      </c>
    </row>
    <row r="116">
      <c r="A116" t="inlineStr">
        <is>
          <t>Rush (2-4 weeks)</t>
        </is>
      </c>
      <c r="C116" t="n">
        <v>1.25</v>
      </c>
      <c r="D116">
        <f>IF(B116="X",C116,0)</f>
        <v/>
      </c>
    </row>
    <row r="117">
      <c r="A117" t="inlineStr">
        <is>
          <t>Express (&lt;2 weeks)</t>
        </is>
      </c>
      <c r="C117" t="n">
        <v>1.5</v>
      </c>
      <c r="D117">
        <f>IF(B117="X",C117,0)</f>
        <v/>
      </c>
    </row>
    <row r="118">
      <c r="A118" t="inlineStr">
        <is>
          <t>Flexible (no deadline)</t>
        </is>
      </c>
      <c r="C118" t="n">
        <v>0.9</v>
      </c>
      <c r="D118">
        <f>IF(B118="X",C118,0)</f>
        <v/>
      </c>
    </row>
    <row r="119"/>
    <row r="120">
      <c r="A120" t="inlineStr">
        <is>
          <t>Timeline Multiplier:</t>
        </is>
      </c>
      <c r="D120">
        <f>MAX(D115:D118)</f>
        <v/>
      </c>
    </row>
    <row r="121"/>
    <row r="122">
      <c r="A122" t="inlineStr">
        <is>
          <t>SUBTOTAL BEFORE TIMELINE</t>
        </is>
      </c>
    </row>
    <row r="123"/>
    <row r="124">
      <c r="A124" t="inlineStr">
        <is>
          <t>Base Package:</t>
        </is>
      </c>
      <c r="D124">
        <f>D13</f>
        <v/>
      </c>
    </row>
    <row r="125">
      <c r="A125" t="inlineStr">
        <is>
          <t>Page Adjustments:</t>
        </is>
      </c>
      <c r="D125">
        <f>E26</f>
        <v/>
      </c>
    </row>
    <row r="126">
      <c r="A126" t="inlineStr">
        <is>
          <t>E-commerce:</t>
        </is>
      </c>
      <c r="D126">
        <f>D41</f>
        <v/>
      </c>
    </row>
    <row r="127">
      <c r="A127" t="inlineStr">
        <is>
          <t>Content:</t>
        </is>
      </c>
      <c r="D127">
        <f>D52</f>
        <v/>
      </c>
    </row>
    <row r="128">
      <c r="A128" t="inlineStr">
        <is>
          <t>Features:</t>
        </is>
      </c>
      <c r="D128">
        <f>D76</f>
        <v/>
      </c>
    </row>
    <row r="129">
      <c r="A129" t="inlineStr">
        <is>
          <t>Design:</t>
        </is>
      </c>
      <c r="D129">
        <f>D88</f>
        <v/>
      </c>
    </row>
    <row r="130">
      <c r="A130" t="inlineStr">
        <is>
          <t>Technical:</t>
        </is>
      </c>
      <c r="D130">
        <f>D99</f>
        <v/>
      </c>
    </row>
    <row r="131">
      <c r="A131" t="inlineStr">
        <is>
          <t>Migration:</t>
        </is>
      </c>
      <c r="D131">
        <f>D111</f>
        <v/>
      </c>
    </row>
    <row r="132"/>
    <row r="133">
      <c r="A133" t="inlineStr">
        <is>
          <t>SUBTOTAL:</t>
        </is>
      </c>
      <c r="D133">
        <f>SUM(D124:D131)</f>
        <v/>
      </c>
    </row>
    <row r="134"/>
    <row r="135">
      <c r="A135" t="inlineStr">
        <is>
          <t>Timeline Adjustment:</t>
        </is>
      </c>
      <c r="D135">
        <f>IF(D120=0,0,D133*(D120-1))</f>
        <v/>
      </c>
    </row>
    <row r="136"/>
    <row r="137">
      <c r="A137" t="inlineStr">
        <is>
          <t>DISCOUNTS (Optional)</t>
        </is>
      </c>
    </row>
    <row r="138">
      <c r="A138" t="inlineStr">
        <is>
          <t>Discount Type</t>
        </is>
      </c>
      <c r="B138" t="inlineStr">
        <is>
          <t>Apply (X)</t>
        </is>
      </c>
      <c r="C138" t="inlineStr">
        <is>
          <t>%</t>
        </is>
      </c>
      <c r="D138" t="inlineStr">
        <is>
          <t>Amount</t>
        </is>
      </c>
    </row>
    <row r="139">
      <c r="A139" t="inlineStr">
        <is>
          <t>Nonprofit organization</t>
        </is>
      </c>
      <c r="C139" t="inlineStr">
        <is>
          <t>15%</t>
        </is>
      </c>
      <c r="D139">
        <f>IF(B139="X",-(D133+D135)*0.15,0)</f>
        <v/>
      </c>
    </row>
    <row r="140">
      <c r="A140" t="inlineStr">
        <is>
          <t>Client referral</t>
        </is>
      </c>
      <c r="C140" t="inlineStr">
        <is>
          <t>10%</t>
        </is>
      </c>
      <c r="D140">
        <f>IF(B140="X",-(D133+D135)*0.1,0)</f>
        <v/>
      </c>
    </row>
    <row r="141">
      <c r="A141" t="inlineStr">
        <is>
          <t>Multi-project commitment</t>
        </is>
      </c>
      <c r="C141" t="inlineStr">
        <is>
          <t>12%</t>
        </is>
      </c>
      <c r="D141">
        <f>IF(B141="X",-(D133+D135)*0.12,0)</f>
        <v/>
      </c>
    </row>
    <row r="142">
      <c r="A142" t="inlineStr">
        <is>
          <t>Flexible timeline (3+ months)</t>
        </is>
      </c>
      <c r="C142" t="inlineStr">
        <is>
          <t>10%</t>
        </is>
      </c>
      <c r="D142">
        <f>IF(B142="X",-(D133+D135)*0.1,0)</f>
        <v/>
      </c>
    </row>
    <row r="143">
      <c r="A143" t="inlineStr">
        <is>
          <t>Cash payment upfront</t>
        </is>
      </c>
      <c r="C143" t="inlineStr">
        <is>
          <t>5%</t>
        </is>
      </c>
      <c r="D143">
        <f>IF(B143="X",-(D133+D135)*0.05,0)</f>
        <v/>
      </c>
    </row>
    <row r="144"/>
    <row r="145">
      <c r="A145" t="inlineStr">
        <is>
          <t>Total Discount:</t>
        </is>
      </c>
      <c r="D145">
        <f>SUM(D139:D143)</f>
        <v/>
      </c>
    </row>
    <row r="146"/>
    <row r="147">
      <c r="A147" t="inlineStr">
        <is>
          <t>═══════════════════════════════════════</t>
        </is>
      </c>
    </row>
    <row r="148"/>
    <row r="149">
      <c r="A149" t="inlineStr">
        <is>
          <t>SUBTOTAL:</t>
        </is>
      </c>
      <c r="D149">
        <f>D133</f>
        <v/>
      </c>
    </row>
    <row r="150">
      <c r="A150" t="inlineStr">
        <is>
          <t>Timeline Adjustment:</t>
        </is>
      </c>
      <c r="D150">
        <f>D135</f>
        <v/>
      </c>
    </row>
    <row r="151">
      <c r="A151" t="inlineStr">
        <is>
          <t>Discounts:</t>
        </is>
      </c>
      <c r="D151">
        <f>D145</f>
        <v/>
      </c>
    </row>
    <row r="152"/>
    <row r="153">
      <c r="A153" t="inlineStr">
        <is>
          <t>PROJECT TOTAL:</t>
        </is>
      </c>
      <c r="D153">
        <f>D149+D150+D151</f>
        <v/>
      </c>
    </row>
    <row r="154"/>
    <row r="155">
      <c r="A155" t="inlineStr">
        <is>
          <t>═══════════════════════════════════════</t>
        </is>
      </c>
    </row>
    <row r="156"/>
    <row r="157">
      <c r="A157" t="inlineStr">
        <is>
          <t>Effective Hourly Rate Check:</t>
        </is>
      </c>
    </row>
    <row r="158"/>
    <row r="159">
      <c r="A159" t="inlineStr">
        <is>
          <t>Estimated Hours:</t>
        </is>
      </c>
      <c r="B159" t="inlineStr">
        <is>
          <t>Hours Value</t>
        </is>
      </c>
    </row>
    <row r="160"/>
    <row r="161">
      <c r="A161" t="inlineStr">
        <is>
          <t>Hourly Rate:</t>
        </is>
      </c>
      <c r="D161">
        <f>IF(B159=0,0,D153/B159)</f>
        <v/>
      </c>
    </row>
    <row r="162">
      <c r="A162" t="inlineStr">
        <is>
          <t>Target: $100-150/hour</t>
        </is>
      </c>
    </row>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sheetData>
  <dataValidations count="1">
    <dataValidation sqref="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showErrorMessage="1" showInputMessage="1" allowBlank="1" type="list">
      <formula1>"X,"</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t="inlineStr">
        <is>
          <t>Client Name:</t>
        </is>
      </c>
      <c r="B1">
        <f> 'Web Dev Pricing Calculator'!B1</f>
        <v/>
      </c>
    </row>
    <row r="2">
      <c r="A2" t="inlineStr">
        <is>
          <t>Project Name:</t>
        </is>
      </c>
      <c r="B2">
        <f> 'Web Dev Pricing Calculator'!B2</f>
        <v/>
      </c>
    </row>
    <row r="3">
      <c r="A3" t="inlineStr">
        <is>
          <t>Quote Date:</t>
        </is>
      </c>
      <c r="B3">
        <f> 'Web Dev Pricing Calculator'!B3</f>
        <v/>
      </c>
    </row>
    <row r="4">
      <c r="A4" t="inlineStr">
        <is>
          <t>Quote Valid Until:</t>
        </is>
      </c>
      <c r="B4">
        <f> 'Web Dev Pricing Calculator'!B4</f>
        <v/>
      </c>
    </row>
    <row r="6">
      <c r="A6" t="inlineStr">
        <is>
          <t>PROJECT COST SUMMARY</t>
        </is>
      </c>
    </row>
    <row r="8">
      <c r="A8" t="inlineStr">
        <is>
          <t>Base Package:</t>
        </is>
      </c>
      <c r="B8">
        <f> 'Web Dev Pricing Calculator'!D12</f>
        <v/>
      </c>
    </row>
    <row r="9">
      <c r="A9" t="inlineStr">
        <is>
          <t>Page Adjustments:</t>
        </is>
      </c>
      <c r="B9">
        <f> 'Web Dev Pricing Calculator'!E25</f>
        <v/>
      </c>
    </row>
    <row r="10">
      <c r="A10" t="inlineStr">
        <is>
          <t>E-Commerce:</t>
        </is>
      </c>
      <c r="B10">
        <f> 'Web Dev Pricing Calculator'!D39</f>
        <v/>
      </c>
    </row>
    <row r="11">
      <c r="A11" t="inlineStr">
        <is>
          <t>Content:</t>
        </is>
      </c>
      <c r="B11">
        <f> 'Web Dev Pricing Calculator'!D49</f>
        <v/>
      </c>
    </row>
    <row r="12">
      <c r="A12" t="inlineStr">
        <is>
          <t>Features:</t>
        </is>
      </c>
      <c r="B12">
        <f> 'Web Dev Pricing Calculator'!D72</f>
        <v/>
      </c>
    </row>
    <row r="13">
      <c r="A13" t="inlineStr">
        <is>
          <t>Design:</t>
        </is>
      </c>
      <c r="B13">
        <f> 'Web Dev Pricing Calculator'!D83</f>
        <v/>
      </c>
    </row>
    <row r="14">
      <c r="A14" t="inlineStr">
        <is>
          <t>Technical:</t>
        </is>
      </c>
      <c r="B14">
        <f> 'Web Dev Pricing Calculator'!D93</f>
        <v/>
      </c>
    </row>
    <row r="15">
      <c r="A15" t="inlineStr">
        <is>
          <t>Migration:</t>
        </is>
      </c>
      <c r="B15">
        <f> 'Web Dev Pricing Calculator'!D104</f>
        <v/>
      </c>
    </row>
    <row r="17">
      <c r="A17" t="inlineStr">
        <is>
          <t>SUBTOTAL:</t>
        </is>
      </c>
      <c r="B17">
        <f>SUM(B8:B15)</f>
        <v/>
      </c>
    </row>
    <row r="18">
      <c r="A18" t="inlineStr">
        <is>
          <t>Timeline Adjustment:</t>
        </is>
      </c>
      <c r="B18">
        <f> 'Web Dev Pricing Calculator'!D129</f>
        <v/>
      </c>
    </row>
    <row r="19">
      <c r="A19" t="inlineStr">
        <is>
          <t>Discounts:</t>
        </is>
      </c>
      <c r="B19">
        <f> 'Web Dev Pricing Calculator'!D139</f>
        <v/>
      </c>
    </row>
    <row r="21">
      <c r="A21" t="inlineStr">
        <is>
          <t>PROJECT TOTAL:</t>
        </is>
      </c>
      <c r="B21">
        <f>B17+B18+B19</f>
        <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2025-11-28T19:28:47Z</dcterms:created>
  <dcterms:modified xmlns:dcterms="http://purl.org/dc/terms/" xmlns:xsi="http://www.w3.org/2001/XMLSchema-instance" xsi:type="dcterms:W3CDTF">2025-11-28T19:28:47Z</dcterms:modified>
</cp:coreProperties>
</file>